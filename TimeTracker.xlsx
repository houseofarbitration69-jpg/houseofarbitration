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Works\KungFu\"/>
    </mc:Choice>
  </mc:AlternateContent>
  <xr:revisionPtr revIDLastSave="0" documentId="13_ncr:1_{B6ACDEA7-BC49-4A3F-B773-4B9687491833}" xr6:coauthVersionLast="47" xr6:coauthVersionMax="47" xr10:uidLastSave="{00000000-0000-0000-0000-000000000000}"/>
  <bookViews>
    <workbookView xWindow="0" yWindow="0" windowWidth="23040" windowHeight="10224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B20" i="1"/>
  <c r="E20" i="1"/>
  <c r="H2" i="1"/>
  <c r="J2" i="1" s="1"/>
  <c r="D2" i="1" s="1"/>
  <c r="D20" i="1" l="1"/>
</calcChain>
</file>

<file path=xl/sharedStrings.xml><?xml version="1.0" encoding="utf-8"?>
<sst xmlns="http://schemas.openxmlformats.org/spreadsheetml/2006/main" count="19" uniqueCount="19">
  <si>
    <t>Temps</t>
  </si>
  <si>
    <t>Taux (horaire)</t>
  </si>
  <si>
    <t>Jours</t>
  </si>
  <si>
    <t>Détails</t>
  </si>
  <si>
    <t>Salaire</t>
  </si>
  <si>
    <t>Horaire</t>
  </si>
  <si>
    <t>Heure / jour</t>
  </si>
  <si>
    <t>Prix horaire</t>
  </si>
  <si>
    <t>Total</t>
  </si>
  <si>
    <t>Prix</t>
  </si>
  <si>
    <t>Création du plan</t>
  </si>
  <si>
    <t>Mise en place tracking du temps</t>
  </si>
  <si>
    <t>Reseau wifi / bluetooth</t>
  </si>
  <si>
    <t>Création de la solution + projet maui pour le design</t>
  </si>
  <si>
    <t>UI + Wizard + Create Competition Step</t>
  </si>
  <si>
    <t>Architecture</t>
  </si>
  <si>
    <t>Architecture + controles (button, theme, etc…)</t>
  </si>
  <si>
    <t>Controls UI + Wizard</t>
  </si>
  <si>
    <t>Formulaire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</si>
</sst>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€&quot;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2">
    <dxf>
      <numFmt numFmtId="164" formatCode="#,##0\ &quot;€&quot;"/>
    </dxf>
    <dxf>
      <numFmt numFmtId="164" formatCode="#,##0\ &quot;€&quot;"/>
    </dxf>
    <dxf>
      <numFmt numFmtId="1" formatCode="0"/>
    </dxf>
    <dxf>
      <alignment horizontal="center" vertical="bottom" textRotation="0" wrapText="0" indent="0" justifyLastLine="0" shrinkToFit="0" readingOrder="0"/>
    </dxf>
    <dxf>
      <numFmt numFmtId="165" formatCode="0.0"/>
    </dxf>
    <dxf>
      <numFmt numFmtId="3" formatCode="#,##0"/>
    </dxf>
    <dxf>
      <numFmt numFmtId="1" formatCode="0"/>
    </dxf>
    <dxf>
      <numFmt numFmtId="164" formatCode="#,##0\ &quot;€&quot;"/>
    </dxf>
    <dxf>
      <numFmt numFmtId="164" formatCode="#,##0\ &quot;€&quot;"/>
    </dxf>
    <dxf>
      <numFmt numFmtId="164" formatCode="#,##0\ &quot;€&quot;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7780F6-4EDD-4593-9309-66544A000426}" name="Tableau1" displayName="Tableau1" ref="A1:E20" totalsRowCount="1" headerRowDxfId="11">
  <autoFilter ref="A1:E19" xr:uid="{C07780F6-4EDD-4593-9309-66544A000426}"/>
  <tableColumns count="5">
    <tableColumn id="1" xr3:uid="{9CE1E16E-0A99-4229-9545-CEB505BEA2F7}" name="Jours" totalsRowLabel="Total" dataDxfId="10" totalsRowDxfId="3"/>
    <tableColumn id="2" xr3:uid="{3224133E-C10D-49BC-81D3-C06B33B14FB6}" name="Temps" totalsRowFunction="sum" dataDxfId="4" totalsRowDxfId="2"/>
    <tableColumn id="3" xr3:uid="{F6272052-D21F-4D8F-847C-BBBD7A5BFBB5}" name="Taux (horaire)" dataDxfId="9" totalsRowDxfId="1">
      <calculatedColumnFormula>Tableau2[[#This Row],[Prix horaire]]</calculatedColumnFormula>
    </tableColumn>
    <tableColumn id="6" xr3:uid="{0D374421-71FB-4B26-A655-B8932AB5024B}" name="Prix" totalsRowFunction="sum" dataDxfId="8" totalsRowDxfId="0">
      <calculatedColumnFormula>Tableau1[[#This Row],[Temps]]*Tableau1[[#This Row],[Taux (horaire)]]</calculatedColumnFormula>
    </tableColumn>
    <tableColumn id="4" xr3:uid="{AFE2A571-8D78-4F39-B21A-AD4ADB93030D}" name="Détails" totalsRowFunction="count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2C1EA8-ABF8-4B8F-A346-A6735D728120}" name="Tableau2" displayName="Tableau2" ref="G1:J2" totalsRowShown="0">
  <autoFilter ref="G1:J2" xr:uid="{9E2C1EA8-ABF8-4B8F-A346-A6735D728120}"/>
  <tableColumns count="4">
    <tableColumn id="1" xr3:uid="{66CCC7CF-8A36-43CE-820F-0890999AEE46}" name="Salaire" dataDxfId="7"/>
    <tableColumn id="2" xr3:uid="{AD6BD5F4-3FC8-4450-A6E7-FDD7C0FEA506}" name="Horaire" dataDxfId="6">
      <calculatedColumnFormula>35*4</calculatedColumnFormula>
    </tableColumn>
    <tableColumn id="3" xr3:uid="{F29CA281-385D-4D4D-97E5-98E515379F73}" name="Heure / jour" dataDxfId="5"/>
    <tableColumn id="4" xr3:uid="{6CCB0674-3E10-4292-8D20-2B8C7040EA90}" name="Prix horaire">
      <calculatedColumnFormula>Tableau2[[#This Row],[Salaire]]/Tableau2[[#This Row],[Horaire]]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topLeftCell="A4" workbookViewId="0">
      <selection activeCell="B20" sqref="B20"/>
    </sheetView>
  </sheetViews>
  <sheetFormatPr baseColWidth="10" defaultColWidth="8.88671875" defaultRowHeight="14.4" x14ac:dyDescent="0.3"/>
  <cols>
    <col min="1" max="1" width="18.109375" style="3" customWidth="1"/>
    <col min="2" max="2" width="13.77734375" style="1" customWidth="1"/>
    <col min="3" max="4" width="16.5546875" style="2" customWidth="1"/>
    <col min="5" max="5" width="46.109375" customWidth="1"/>
    <col min="7" max="7" width="12.21875" style="2" customWidth="1"/>
    <col min="8" max="8" width="14.109375" style="1" customWidth="1"/>
    <col min="9" max="9" width="18.21875" style="8" customWidth="1"/>
    <col min="10" max="10" width="17.5546875" customWidth="1"/>
  </cols>
  <sheetData>
    <row r="1" spans="1:10" x14ac:dyDescent="0.3">
      <c r="A1" s="3" t="s">
        <v>2</v>
      </c>
      <c r="B1" s="4" t="s">
        <v>0</v>
      </c>
      <c r="C1" s="5" t="s">
        <v>1</v>
      </c>
      <c r="D1" s="5" t="s">
        <v>9</v>
      </c>
      <c r="E1" s="6" t="s">
        <v>3</v>
      </c>
      <c r="G1" s="5" t="s">
        <v>4</v>
      </c>
      <c r="H1" s="4" t="s">
        <v>5</v>
      </c>
      <c r="I1" s="7" t="s">
        <v>6</v>
      </c>
      <c r="J1" s="6" t="s">
        <v>7</v>
      </c>
    </row>
    <row r="2" spans="1:10" x14ac:dyDescent="0.3">
      <c r="A2" s="3">
        <v>46052</v>
      </c>
      <c r="B2" s="9">
        <v>1</v>
      </c>
      <c r="C2" s="2">
        <v>30</v>
      </c>
      <c r="D2" s="2">
        <f>Tableau1[[#This Row],[Temps]]*Tableau1[[#This Row],[Taux (horaire)]]</f>
        <v>30</v>
      </c>
      <c r="E2" t="s">
        <v>10</v>
      </c>
      <c r="G2" s="2">
        <v>4342</v>
      </c>
      <c r="H2" s="1">
        <f>35*4</f>
        <v>140</v>
      </c>
      <c r="I2" s="8">
        <v>7</v>
      </c>
      <c r="J2" s="2">
        <f>Tableau2[[#This Row],[Salaire]]/Tableau2[[#This Row],[Horaire]]</f>
        <v>31.014285714285716</v>
      </c>
    </row>
    <row r="3" spans="1:10" x14ac:dyDescent="0.3">
      <c r="A3" s="3">
        <v>46053</v>
      </c>
      <c r="B3" s="9">
        <v>1</v>
      </c>
      <c r="C3" s="2">
        <v>30</v>
      </c>
      <c r="D3" s="2">
        <f>Tableau1[[#This Row],[Temps]]*Tableau1[[#This Row],[Taux (horaire)]]</f>
        <v>30</v>
      </c>
      <c r="E3" t="s">
        <v>11</v>
      </c>
      <c r="J3" s="2"/>
    </row>
    <row r="4" spans="1:10" x14ac:dyDescent="0.3">
      <c r="A4" s="3">
        <v>46053</v>
      </c>
      <c r="B4" s="9">
        <v>3</v>
      </c>
      <c r="C4" s="2">
        <v>30</v>
      </c>
      <c r="D4" s="2">
        <f>Tableau1[[#This Row],[Temps]]*Tableau1[[#This Row],[Taux (horaire)]]</f>
        <v>90</v>
      </c>
      <c r="E4" t="s">
        <v>12</v>
      </c>
      <c r="J4" s="2"/>
    </row>
    <row r="5" spans="1:10" x14ac:dyDescent="0.3">
      <c r="A5" s="3">
        <v>46077</v>
      </c>
      <c r="B5" s="9">
        <v>1</v>
      </c>
      <c r="C5" s="2">
        <v>30</v>
      </c>
      <c r="D5" s="2">
        <f>Tableau1[[#This Row],[Temps]]*Tableau1[[#This Row],[Taux (horaire)]]</f>
        <v>30</v>
      </c>
      <c r="E5" t="s">
        <v>13</v>
      </c>
      <c r="J5" s="2"/>
    </row>
    <row r="6" spans="1:10" x14ac:dyDescent="0.3">
      <c r="A6" s="3">
        <v>46080</v>
      </c>
      <c r="B6" s="9">
        <v>3</v>
      </c>
      <c r="C6" s="2">
        <v>30</v>
      </c>
      <c r="D6" s="2">
        <f>Tableau1[[#This Row],[Temps]]*Tableau1[[#This Row],[Taux (horaire)]]</f>
        <v>90</v>
      </c>
      <c r="E6" t="s">
        <v>14</v>
      </c>
      <c r="J6" s="2"/>
    </row>
    <row r="7" spans="1:10" x14ac:dyDescent="0.3">
      <c r="A7" s="3">
        <v>46083</v>
      </c>
      <c r="B7" s="9">
        <v>2</v>
      </c>
      <c r="C7" s="2">
        <v>30</v>
      </c>
      <c r="D7" s="2">
        <f>Tableau1[[#This Row],[Temps]]*Tableau1[[#This Row],[Taux (horaire)]]</f>
        <v>60</v>
      </c>
      <c r="E7" t="s">
        <v>15</v>
      </c>
      <c r="J7" s="2"/>
    </row>
    <row r="8" spans="1:10" x14ac:dyDescent="0.3">
      <c r="A8" s="3">
        <v>46084</v>
      </c>
      <c r="B8" s="9">
        <v>2</v>
      </c>
      <c r="C8" s="2">
        <v>30</v>
      </c>
      <c r="D8" s="2">
        <f>Tableau1[[#This Row],[Temps]]*Tableau1[[#This Row],[Taux (horaire)]]</f>
        <v>60</v>
      </c>
      <c r="E8" t="s">
        <v>16</v>
      </c>
      <c r="J8" s="2"/>
    </row>
    <row r="9" spans="1:10" x14ac:dyDescent="0.3">
      <c r="A9" s="3">
        <v>46086</v>
      </c>
      <c r="B9" s="9">
        <v>5</v>
      </c>
      <c r="C9" s="2">
        <v>30</v>
      </c>
      <c r="D9" s="2">
        <f>Tableau1[[#This Row],[Temps]]*Tableau1[[#This Row],[Taux (horaire)]]</f>
        <v>150</v>
      </c>
      <c r="E9" t="s">
        <v>17</v>
      </c>
      <c r="J9" s="2"/>
    </row>
    <row r="10" spans="1:10" x14ac:dyDescent="0.3">
      <c r="A10" s="3">
        <v>46088</v>
      </c>
      <c r="B10" s="9">
        <v>2</v>
      </c>
      <c r="C10" s="2">
        <v>35</v>
      </c>
      <c r="D10" s="2">
        <f>Tableau1[[#This Row],[Temps]]*Tableau1[[#This Row],[Taux (horaire)]]</f>
        <v>70</v>
      </c>
      <c r="J10" s="2"/>
    </row>
    <row r="11" spans="1:10" x14ac:dyDescent="0.3">
      <c r="A11" s="3">
        <v>46092</v>
      </c>
      <c r="B11" s="9">
        <v>2</v>
      </c>
      <c r="C11" s="2">
        <v>30</v>
      </c>
      <c r="D11" s="2">
        <f>Tableau1[[#This Row],[Temps]]*Tableau1[[#This Row],[Taux (horaire)]]</f>
        <v>60</v>
      </c>
      <c r="J11" s="2"/>
    </row>
    <row r="12" spans="1:10" x14ac:dyDescent="0.3">
      <c r="A12" s="3">
        <v>46093</v>
      </c>
      <c r="B12" s="9">
        <v>2</v>
      </c>
      <c r="C12" s="2">
        <v>30</v>
      </c>
      <c r="D12" s="2">
        <f>Tableau1[[#This Row],[Temps]]*Tableau1[[#This Row],[Taux (horaire)]]</f>
        <v>60</v>
      </c>
      <c r="E12" t="s">
        <v>18</v>
      </c>
      <c r="J12" s="2"/>
    </row>
    <row r="13" spans="1:10" x14ac:dyDescent="0.3">
      <c r="A13" s="3">
        <v>46097</v>
      </c>
      <c r="B13" s="9">
        <v>2</v>
      </c>
      <c r="C13" s="2">
        <v>30</v>
      </c>
      <c r="D13" s="2">
        <f>Tableau1[[#This Row],[Temps]]*Tableau1[[#This Row],[Taux (horaire)]]</f>
        <v>60</v>
      </c>
      <c r="J13" s="2"/>
    </row>
    <row r="14" spans="1:10" x14ac:dyDescent="0.3">
      <c r="A14" s="3">
        <v>46098</v>
      </c>
      <c r="B14" s="9">
        <v>2</v>
      </c>
      <c r="C14" s="2">
        <v>30</v>
      </c>
      <c r="D14" s="2">
        <f>Tableau1[[#This Row],[Temps]]*Tableau1[[#This Row],[Taux (horaire)]]</f>
        <v>60</v>
      </c>
      <c r="J14" s="2"/>
    </row>
    <row r="15" spans="1:10" x14ac:dyDescent="0.3">
      <c r="A15" s="3">
        <v>45734</v>
      </c>
      <c r="B15" s="9">
        <v>2</v>
      </c>
      <c r="C15" s="2">
        <v>30</v>
      </c>
      <c r="D15" s="2">
        <f>Tableau1[[#This Row],[Temps]]*Tableau1[[#This Row],[Taux (horaire)]]</f>
        <v>60</v>
      </c>
      <c r="J15" s="2"/>
    </row>
    <row r="16" spans="1:10" x14ac:dyDescent="0.3">
      <c r="A16" s="3">
        <v>45735</v>
      </c>
      <c r="B16" s="9">
        <v>1.5</v>
      </c>
      <c r="C16" s="2">
        <v>30</v>
      </c>
      <c r="D16" s="2">
        <f>Tableau1[[#This Row],[Temps]]*Tableau1[[#This Row],[Taux (horaire)]]</f>
        <v>45</v>
      </c>
      <c r="J16" s="2"/>
    </row>
    <row r="17" spans="1:10" x14ac:dyDescent="0.3">
      <c r="A17" s="3">
        <v>45739</v>
      </c>
      <c r="B17" s="9">
        <v>1.5</v>
      </c>
      <c r="C17" s="2">
        <v>30</v>
      </c>
      <c r="D17" s="2">
        <f>Tableau1[[#This Row],[Temps]]*Tableau1[[#This Row],[Taux (horaire)]]</f>
        <v>45</v>
      </c>
      <c r="J17" s="2"/>
    </row>
    <row r="18" spans="1:10" x14ac:dyDescent="0.3">
      <c r="A18" s="3">
        <v>45740</v>
      </c>
      <c r="B18" s="9">
        <v>1.5</v>
      </c>
      <c r="C18" s="2">
        <v>30</v>
      </c>
      <c r="D18" s="2">
        <f>Tableau1[[#This Row],[Temps]]*Tableau1[[#This Row],[Taux (horaire)]]</f>
        <v>45</v>
      </c>
      <c r="J18" s="2"/>
    </row>
    <row r="19" spans="1:10" x14ac:dyDescent="0.3">
      <c r="A19" s="3">
        <v>45741</v>
      </c>
      <c r="B19" s="9">
        <v>1.5</v>
      </c>
      <c r="C19" s="2">
        <v>30</v>
      </c>
      <c r="D19" s="2">
        <f>Tableau1[[#This Row],[Temps]]*Tableau1[[#This Row],[Taux (horaire)]]</f>
        <v>45</v>
      </c>
      <c r="J19" s="2"/>
    </row>
    <row r="20" spans="1:10" x14ac:dyDescent="0.3">
      <c r="A20" s="6" t="s">
        <v>8</v>
      </c>
      <c r="B20" s="1">
        <f>SUBTOTAL(109,Tableau1[Temps])</f>
        <v>36</v>
      </c>
      <c r="D20" s="2">
        <f>SUBTOTAL(109,Tableau1[Prix])</f>
        <v>1090</v>
      </c>
      <c r="E20">
        <f>SUBTOTAL(103,Tableau1[Détails])</f>
        <v>9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 Godat</dc:creator>
  <cp:lastModifiedBy>Didier Godat</cp:lastModifiedBy>
  <dcterms:created xsi:type="dcterms:W3CDTF">2015-06-05T18:19:34Z</dcterms:created>
  <dcterms:modified xsi:type="dcterms:W3CDTF">2026-03-25T06:54:15Z</dcterms:modified>
</cp:coreProperties>
</file>