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1A5BE69B-0ED5-4BCE-BC54-06494F721678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B33" i="1"/>
  <c r="E33" i="1"/>
  <c r="H2" i="1"/>
  <c r="J2" i="1" s="1"/>
  <c r="D2" i="1" s="1"/>
  <c r="D33" i="1" l="1"/>
</calcChain>
</file>

<file path=xl/sharedStrings.xml><?xml version="1.0" encoding="utf-8"?>
<sst xmlns="http://schemas.openxmlformats.org/spreadsheetml/2006/main" count="19" uniqueCount="19">
  <si>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</si>
  <si>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</si>
  <si>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</si>
  <si>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</si>
  <si>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</si>
  <si>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</si>
  <si>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</si>
  <si>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</si>
  <si>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</si>
  <si>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</si>
  <si>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</si>
  <si>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</si>
  <si>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</si>
  <si>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</si>
  <si>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</si>
  <si>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</si>
  <si>
    <t>Architecture + controles (button, theme, etc…)</t>
  </si>
  <si>
    <t>Controls UI + Wizard</t>
  </si>
  <si>
    <t>Formulaire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</si>
</sst>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\ &quot;€&quot;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65" formatCode="0.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33" totalsRowCount="1" headerRowDxfId="11">
  <autoFilter ref="A1:E32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"/>
  <sheetViews>
    <sheetView tabSelected="1" topLeftCell="A25" workbookViewId="0">
      <selection activeCell="B33" sqref="B33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9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9">
        <v>1</v>
      </c>
      <c r="C3" s="2">
        <v>30</v>
      </c>
      <c r="D3" s="2">
        <f>Tableau1[[#This Row],[Temps]]*Tableau1[[#This Row],[Taux (horaire)]]</f>
        <v>30</v>
      </c>
      <c r="E3" t="s">
        <v>11</v>
      </c>
      <c r="J3" s="2"/>
    </row>
    <row r="4" spans="1:10" x14ac:dyDescent="0.3">
      <c r="A4" s="3">
        <v>46053</v>
      </c>
      <c r="B4" s="9">
        <v>3</v>
      </c>
      <c r="C4" s="2">
        <v>30</v>
      </c>
      <c r="D4" s="2">
        <f>Tableau1[[#This Row],[Temps]]*Tableau1[[#This Row],[Taux (horaire)]]</f>
        <v>90</v>
      </c>
      <c r="E4" t="s">
        <v>12</v>
      </c>
      <c r="J4" s="2"/>
    </row>
    <row r="5" spans="1:10" x14ac:dyDescent="0.3">
      <c r="A5" s="3">
        <v>46077</v>
      </c>
      <c r="B5" s="9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9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9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3">
        <v>46084</v>
      </c>
      <c r="B8" s="9">
        <v>2</v>
      </c>
      <c r="C8" s="2">
        <v>30</v>
      </c>
      <c r="D8" s="2">
        <f>Tableau1[[#This Row],[Temps]]*Tableau1[[#This Row],[Taux (horaire)]]</f>
        <v>60</v>
      </c>
      <c r="E8" t="s">
        <v>16</v>
      </c>
      <c r="J8" s="2"/>
    </row>
    <row r="9" spans="1:10" x14ac:dyDescent="0.3">
      <c r="A9" s="3">
        <v>46086</v>
      </c>
      <c r="B9" s="9">
        <v>5</v>
      </c>
      <c r="C9" s="2">
        <v>30</v>
      </c>
      <c r="D9" s="2">
        <f>Tableau1[[#This Row],[Temps]]*Tableau1[[#This Row],[Taux (horaire)]]</f>
        <v>150</v>
      </c>
      <c r="E9" t="s">
        <v>17</v>
      </c>
      <c r="J9" s="2"/>
    </row>
    <row r="10" spans="1:10" x14ac:dyDescent="0.3">
      <c r="A10" s="3">
        <v>46088</v>
      </c>
      <c r="B10" s="9">
        <v>2</v>
      </c>
      <c r="C10" s="2">
        <v>30</v>
      </c>
      <c r="D10" s="2">
        <f>Tableau1[[#This Row],[Temps]]*Tableau1[[#This Row],[Taux (horaire)]]</f>
        <v>60</v>
      </c>
      <c r="J10" s="2"/>
    </row>
    <row r="11" spans="1:10" x14ac:dyDescent="0.3">
      <c r="A11" s="3">
        <v>46092</v>
      </c>
      <c r="B11" s="9">
        <v>2</v>
      </c>
      <c r="C11" s="2">
        <v>30</v>
      </c>
      <c r="D11" s="2">
        <f>Tableau1[[#This Row],[Temps]]*Tableau1[[#This Row],[Taux (horaire)]]</f>
        <v>60</v>
      </c>
      <c r="J11" s="2"/>
    </row>
    <row r="12" spans="1:10" x14ac:dyDescent="0.3">
      <c r="A12" s="3">
        <v>46093</v>
      </c>
      <c r="B12" s="9">
        <v>2</v>
      </c>
      <c r="C12" s="2">
        <v>30</v>
      </c>
      <c r="D12" s="2">
        <f>Tableau1[[#This Row],[Temps]]*Tableau1[[#This Row],[Taux (horaire)]]</f>
        <v>60</v>
      </c>
      <c r="E12" t="s">
        <v>18</v>
      </c>
      <c r="J12" s="2"/>
    </row>
    <row r="13" spans="1:10" x14ac:dyDescent="0.3">
      <c r="A13" s="3">
        <v>46097</v>
      </c>
      <c r="B13" s="9">
        <v>2</v>
      </c>
      <c r="C13" s="2">
        <v>30</v>
      </c>
      <c r="D13" s="2">
        <f>Tableau1[[#This Row],[Temps]]*Tableau1[[#This Row],[Taux (horaire)]]</f>
        <v>60</v>
      </c>
      <c r="J13" s="2"/>
    </row>
    <row r="14" spans="1:10" x14ac:dyDescent="0.3">
      <c r="A14" s="3">
        <v>46098</v>
      </c>
      <c r="B14" s="9">
        <v>2</v>
      </c>
      <c r="C14" s="2">
        <v>30</v>
      </c>
      <c r="D14" s="2">
        <f>Tableau1[[#This Row],[Temps]]*Tableau1[[#This Row],[Taux (horaire)]]</f>
        <v>60</v>
      </c>
      <c r="J14" s="2"/>
    </row>
    <row r="15" spans="1:10" x14ac:dyDescent="0.3">
      <c r="A15" s="3">
        <v>46099</v>
      </c>
      <c r="B15" s="9">
        <v>2</v>
      </c>
      <c r="C15" s="2">
        <v>30</v>
      </c>
      <c r="D15" s="2">
        <f>Tableau1[[#This Row],[Temps]]*Tableau1[[#This Row],[Taux (horaire)]]</f>
        <v>60</v>
      </c>
      <c r="J15" s="2"/>
    </row>
    <row r="16" spans="1:10" x14ac:dyDescent="0.3">
      <c r="A16" s="3">
        <v>46100</v>
      </c>
      <c r="B16" s="9">
        <v>1.5</v>
      </c>
      <c r="C16" s="2">
        <v>30</v>
      </c>
      <c r="D16" s="2">
        <f>Tableau1[[#This Row],[Temps]]*Tableau1[[#This Row],[Taux (horaire)]]</f>
        <v>45</v>
      </c>
      <c r="J16" s="2"/>
    </row>
    <row r="17" spans="1:10" x14ac:dyDescent="0.3">
      <c r="A17" s="3">
        <v>46104</v>
      </c>
      <c r="B17" s="9">
        <v>1.5</v>
      </c>
      <c r="C17" s="2">
        <v>30</v>
      </c>
      <c r="D17" s="2">
        <f>Tableau1[[#This Row],[Temps]]*Tableau1[[#This Row],[Taux (horaire)]]</f>
        <v>45</v>
      </c>
      <c r="J17" s="2"/>
    </row>
    <row r="18" spans="1:10" x14ac:dyDescent="0.3">
      <c r="A18" s="3">
        <v>46105</v>
      </c>
      <c r="B18" s="9">
        <v>1.5</v>
      </c>
      <c r="C18" s="2">
        <v>30</v>
      </c>
      <c r="D18" s="2">
        <f>Tableau1[[#This Row],[Temps]]*Tableau1[[#This Row],[Taux (horaire)]]</f>
        <v>45</v>
      </c>
      <c r="J18" s="2"/>
    </row>
    <row r="19" spans="1:10" x14ac:dyDescent="0.3">
      <c r="A19" s="3">
        <v>46106</v>
      </c>
      <c r="B19" s="9">
        <v>1.5</v>
      </c>
      <c r="C19" s="2">
        <v>30</v>
      </c>
      <c r="D19" s="2">
        <f>Tableau1[[#This Row],[Temps]]*Tableau1[[#This Row],[Taux (horaire)]]</f>
        <v>45</v>
      </c>
      <c r="J19" s="2"/>
    </row>
    <row r="20" spans="1:10" x14ac:dyDescent="0.3">
      <c r="A20" s="3">
        <v>46107</v>
      </c>
      <c r="B20" s="9">
        <v>1.5</v>
      </c>
      <c r="C20" s="2">
        <v>30</v>
      </c>
      <c r="D20" s="2">
        <f>Tableau1[[#This Row],[Temps]]*Tableau1[[#This Row],[Taux (horaire)]]</f>
        <v>45</v>
      </c>
      <c r="J20" s="2"/>
    </row>
    <row r="21" spans="1:10" x14ac:dyDescent="0.3">
      <c r="A21" s="3">
        <v>46108</v>
      </c>
      <c r="B21" s="9">
        <v>1</v>
      </c>
      <c r="C21" s="2">
        <v>30</v>
      </c>
      <c r="D21" s="2">
        <f>Tableau1[[#This Row],[Temps]]*Tableau1[[#This Row],[Taux (horaire)]]</f>
        <v>30</v>
      </c>
      <c r="J21" s="2"/>
    </row>
    <row r="22" spans="1:10" x14ac:dyDescent="0.3">
      <c r="A22" s="3">
        <v>46110</v>
      </c>
      <c r="B22" s="9">
        <v>2</v>
      </c>
      <c r="C22" s="2">
        <v>30</v>
      </c>
      <c r="D22" s="2">
        <f>Tableau1[[#This Row],[Temps]]*Tableau1[[#This Row],[Taux (horaire)]]</f>
        <v>60</v>
      </c>
      <c r="J22" s="2"/>
    </row>
    <row r="23" spans="1:10" x14ac:dyDescent="0.3">
      <c r="A23" s="3">
        <v>46111</v>
      </c>
      <c r="B23" s="9">
        <v>1.5</v>
      </c>
      <c r="C23" s="2">
        <v>30</v>
      </c>
      <c r="D23" s="2">
        <f>Tableau1[[#This Row],[Temps]]*Tableau1[[#This Row],[Taux (horaire)]]</f>
        <v>45</v>
      </c>
      <c r="J23" s="2"/>
    </row>
    <row r="24" spans="1:10" x14ac:dyDescent="0.3">
      <c r="A24" s="3">
        <v>46121</v>
      </c>
      <c r="B24" s="9">
        <v>1.5</v>
      </c>
      <c r="C24" s="2">
        <v>30</v>
      </c>
      <c r="D24" s="2">
        <f>Tableau1[[#This Row],[Temps]]*Tableau1[[#This Row],[Taux (horaire)]]</f>
        <v>45</v>
      </c>
      <c r="J24" s="2"/>
    </row>
    <row r="25" spans="1:10" x14ac:dyDescent="0.3">
      <c r="A25" s="3">
        <v>46122</v>
      </c>
      <c r="B25" s="9">
        <v>1.5</v>
      </c>
      <c r="C25" s="2">
        <v>30</v>
      </c>
      <c r="D25" s="2">
        <f>Tableau1[[#This Row],[Temps]]*Tableau1[[#This Row],[Taux (horaire)]]</f>
        <v>45</v>
      </c>
      <c r="J25" s="2"/>
    </row>
    <row r="26" spans="1:10" x14ac:dyDescent="0.3">
      <c r="A26" s="3">
        <v>46131</v>
      </c>
      <c r="B26" s="9">
        <v>2</v>
      </c>
      <c r="C26" s="2">
        <v>30</v>
      </c>
      <c r="D26" s="2">
        <f>Tableau1[[#This Row],[Temps]]*Tableau1[[#This Row],[Taux (horaire)]]</f>
        <v>60</v>
      </c>
      <c r="J26" s="2"/>
    </row>
    <row r="27" spans="1:10" x14ac:dyDescent="0.3">
      <c r="A27" s="3">
        <v>46132</v>
      </c>
      <c r="B27" s="9">
        <v>1.5</v>
      </c>
      <c r="C27" s="2">
        <v>30</v>
      </c>
      <c r="D27" s="2">
        <f>Tableau1[[#This Row],[Temps]]*Tableau1[[#This Row],[Taux (horaire)]]</f>
        <v>45</v>
      </c>
      <c r="J27" s="2"/>
    </row>
    <row r="28" spans="1:10" x14ac:dyDescent="0.3">
      <c r="A28" s="3">
        <v>46137</v>
      </c>
      <c r="B28" s="9">
        <v>2</v>
      </c>
      <c r="C28" s="2">
        <v>30</v>
      </c>
      <c r="D28" s="2">
        <f>Tableau1[[#This Row],[Temps]]*Tableau1[[#This Row],[Taux (horaire)]]</f>
        <v>60</v>
      </c>
      <c r="J28" s="2"/>
    </row>
    <row r="29" spans="1:10" x14ac:dyDescent="0.3">
      <c r="A29" s="3">
        <v>46138</v>
      </c>
      <c r="B29" s="9">
        <v>2</v>
      </c>
      <c r="C29" s="2">
        <v>30</v>
      </c>
      <c r="D29" s="2">
        <f>Tableau1[[#This Row],[Temps]]*Tableau1[[#This Row],[Taux (horaire)]]</f>
        <v>60</v>
      </c>
      <c r="J29" s="2"/>
    </row>
    <row r="30" spans="1:10" x14ac:dyDescent="0.3">
      <c r="A30" s="3">
        <v>46139</v>
      </c>
      <c r="B30" s="9">
        <v>1</v>
      </c>
      <c r="C30" s="2">
        <v>30</v>
      </c>
      <c r="D30" s="2">
        <f>Tableau1[[#This Row],[Temps]]*Tableau1[[#This Row],[Taux (horaire)]]</f>
        <v>30</v>
      </c>
      <c r="J30" s="2"/>
    </row>
    <row r="31" spans="1:10" x14ac:dyDescent="0.3">
      <c r="A31" s="3">
        <v>46140</v>
      </c>
      <c r="B31" s="9">
        <v>1.5</v>
      </c>
      <c r="C31" s="2">
        <v>30</v>
      </c>
      <c r="D31" s="2">
        <f>Tableau1[[#This Row],[Temps]]*Tableau1[[#This Row],[Taux (horaire)]]</f>
        <v>45</v>
      </c>
      <c r="J31" s="2"/>
    </row>
    <row r="32" spans="1:10" x14ac:dyDescent="0.3">
      <c r="A32" s="3">
        <v>46145</v>
      </c>
      <c r="B32" s="9">
        <v>3</v>
      </c>
      <c r="C32" s="2">
        <v>30</v>
      </c>
      <c r="D32" s="2">
        <f>Tableau1[[#This Row],[Temps]]*Tableau1[[#This Row],[Taux (horaire)]]</f>
        <v>90</v>
      </c>
      <c r="J32" s="2"/>
    </row>
    <row r="33" spans="1:5" x14ac:dyDescent="0.3">
      <c r="A33" s="6" t="s">
        <v>8</v>
      </c>
      <c r="B33" s="1">
        <f>SUBTOTAL(109,Tableau1[Temps])</f>
        <v>58</v>
      </c>
      <c r="D33" s="2">
        <f>SUBTOTAL(109,Tableau1[Prix])</f>
        <v>1740</v>
      </c>
      <c r="E33">
        <f>SUBTOTAL(103,Tableau1[Détails])</f>
        <v>9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2026-05-04T05:14:24Z</dcterms:modified>
</cp:coreProperties>
</file>