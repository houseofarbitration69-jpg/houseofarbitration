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F30C76A6-AB61-41F7-8C81-3488C9539134}" xr6:coauthVersionLast="47" xr6:coauthVersionMax="47" xr10:uidLastSave="{00000000-0000-0000-0000-000000000000}"/>
  <bookViews>
    <workbookView xWindow="0" yWindow="0" windowWidth="23040" windowHeight="10224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B22" i="1"/>
  <c r="E22" i="1"/>
  <c r="H2" i="1"/>
  <c r="J2" i="1" s="1"/>
  <c r="D2" i="1" s="1"/>
  <c r="D22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<sst xmlns="http://schemas.openxmlformats.org/spreadsheetml/2006/main" count="19" uniqueCount="19">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</sst>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€&quot;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65" formatCode="0.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22" totalsRowCount="1" headerRowDxfId="11">
  <autoFilter ref="A1:E21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topLeftCell="A4" workbookViewId="0">
      <selection activeCell="D21" sqref="D21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9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9">
        <v>1</v>
      </c>
      <c r="C3" s="2">
        <v>30</v>
      </c>
      <c r="D3" s="2">
        <f>Tableau1[[#This Row],[Temps]]*Tableau1[[#This Row],[Taux (horaire)]]</f>
        <v>30</v>
      </c>
      <c r="E3" t="s">
        <v>11</v>
      </c>
      <c r="J3" s="2"/>
    </row>
    <row r="4" spans="1:10" x14ac:dyDescent="0.3">
      <c r="A4" s="3">
        <v>46053</v>
      </c>
      <c r="B4" s="9">
        <v>3</v>
      </c>
      <c r="C4" s="2">
        <v>30</v>
      </c>
      <c r="D4" s="2">
        <f>Tableau1[[#This Row],[Temps]]*Tableau1[[#This Row],[Taux (horaire)]]</f>
        <v>90</v>
      </c>
      <c r="E4" t="s">
        <v>12</v>
      </c>
      <c r="J4" s="2"/>
    </row>
    <row r="5" spans="1:10" x14ac:dyDescent="0.3">
      <c r="A5" s="3">
        <v>46077</v>
      </c>
      <c r="B5" s="9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9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9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9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9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9">
        <v>2</v>
      </c>
      <c r="C10" s="2">
        <v>35</v>
      </c>
      <c r="D10" s="2">
        <f>Tableau1[[#This Row],[Temps]]*Tableau1[[#This Row],[Taux (horaire)]]</f>
        <v>70</v>
      </c>
      <c r="J10" s="2"/>
    </row>
    <row r="11" spans="1:10" x14ac:dyDescent="0.3">
      <c r="A11" s="3">
        <v>46092</v>
      </c>
      <c r="B11" s="9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9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3">
        <v>46097</v>
      </c>
      <c r="B13" s="9">
        <v>2</v>
      </c>
      <c r="C13" s="2">
        <v>30</v>
      </c>
      <c r="D13" s="2">
        <f>Tableau1[[#This Row],[Temps]]*Tableau1[[#This Row],[Taux (horaire)]]</f>
        <v>60</v>
      </c>
      <c r="J13" s="2"/>
    </row>
    <row r="14" spans="1:10" x14ac:dyDescent="0.3">
      <c r="A14" s="3">
        <v>46098</v>
      </c>
      <c r="B14" s="9">
        <v>2</v>
      </c>
      <c r="C14" s="2">
        <v>30</v>
      </c>
      <c r="D14" s="2">
        <f>Tableau1[[#This Row],[Temps]]*Tableau1[[#This Row],[Taux (horaire)]]</f>
        <v>60</v>
      </c>
      <c r="J14" s="2"/>
    </row>
    <row r="15" spans="1:10" x14ac:dyDescent="0.3">
      <c r="A15" s="3">
        <v>46099</v>
      </c>
      <c r="B15" s="9">
        <v>2</v>
      </c>
      <c r="C15" s="2">
        <v>30</v>
      </c>
      <c r="D15" s="2">
        <f>Tableau1[[#This Row],[Temps]]*Tableau1[[#This Row],[Taux (horaire)]]</f>
        <v>60</v>
      </c>
      <c r="J15" s="2"/>
    </row>
    <row r="16" spans="1:10" x14ac:dyDescent="0.3">
      <c r="A16" s="3">
        <v>46100</v>
      </c>
      <c r="B16" s="9">
        <v>1.5</v>
      </c>
      <c r="C16" s="2">
        <v>30</v>
      </c>
      <c r="D16" s="2">
        <f>Tableau1[[#This Row],[Temps]]*Tableau1[[#This Row],[Taux (horaire)]]</f>
        <v>45</v>
      </c>
      <c r="J16" s="2"/>
    </row>
    <row r="17" spans="1:10" x14ac:dyDescent="0.3">
      <c r="A17" s="3">
        <v>46104</v>
      </c>
      <c r="B17" s="9">
        <v>1.5</v>
      </c>
      <c r="C17" s="2">
        <v>30</v>
      </c>
      <c r="D17" s="2">
        <f>Tableau1[[#This Row],[Temps]]*Tableau1[[#This Row],[Taux (horaire)]]</f>
        <v>45</v>
      </c>
      <c r="J17" s="2"/>
    </row>
    <row r="18" spans="1:10" x14ac:dyDescent="0.3">
      <c r="A18" s="3">
        <v>46105</v>
      </c>
      <c r="B18" s="9">
        <v>1.5</v>
      </c>
      <c r="C18" s="2">
        <v>30</v>
      </c>
      <c r="D18" s="2">
        <f>Tableau1[[#This Row],[Temps]]*Tableau1[[#This Row],[Taux (horaire)]]</f>
        <v>45</v>
      </c>
      <c r="J18" s="2"/>
    </row>
    <row r="19" spans="1:10" x14ac:dyDescent="0.3">
      <c r="A19" s="3">
        <v>46106</v>
      </c>
      <c r="B19" s="9">
        <v>1.5</v>
      </c>
      <c r="C19" s="2">
        <v>30</v>
      </c>
      <c r="D19" s="2">
        <f>Tableau1[[#This Row],[Temps]]*Tableau1[[#This Row],[Taux (horaire)]]</f>
        <v>45</v>
      </c>
      <c r="J19" s="2"/>
    </row>
    <row r="20" spans="1:10" x14ac:dyDescent="0.3">
      <c r="A20" s="3">
        <v>46107</v>
      </c>
      <c r="B20" s="9">
        <v>1.5</v>
      </c>
      <c r="C20" s="2">
        <v>30</v>
      </c>
      <c r="D20" s="2">
        <f>Tableau1[[#This Row],[Temps]]*Tableau1[[#This Row],[Taux (horaire)]]</f>
        <v>45</v>
      </c>
      <c r="J20" s="2"/>
    </row>
    <row r="21" spans="1:10" x14ac:dyDescent="0.3">
      <c r="A21" s="3">
        <v>46108</v>
      </c>
      <c r="B21" s="9">
        <v>1</v>
      </c>
      <c r="C21" s="2">
        <v>30</v>
      </c>
      <c r="D21" s="2">
        <f>Tableau1[[#This Row],[Temps]]*Tableau1[[#This Row],[Taux (horaire)]]</f>
        <v>30</v>
      </c>
      <c r="J21" s="2"/>
    </row>
    <row r="22" spans="1:10" x14ac:dyDescent="0.3">
      <c r="A22" s="6" t="s">
        <v>8</v>
      </c>
      <c r="B22" s="1">
        <f>SUBTOTAL(109,Tableau1[Temps])</f>
        <v>38.5</v>
      </c>
      <c r="D22" s="2">
        <f>SUBTOTAL(109,Tableau1[Prix])</f>
        <v>1165</v>
      </c>
      <c r="E22">
        <f>SUBTOTAL(103,Tableau1[Détails])</f>
        <v>9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2026-03-27T14:32:25Z</dcterms:modified>
</cp:coreProperties>
</file>